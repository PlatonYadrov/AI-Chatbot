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Платон\Desktop\"/>
    </mc:Choice>
  </mc:AlternateContent>
  <xr:revisionPtr revIDLastSave="0" documentId="13_ncr:1_{88B0ED41-FA3B-48C5-9582-BF0CB6D35C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7" i="1" l="1"/>
  <c r="L18" i="1"/>
  <c r="L19" i="1"/>
  <c r="L20" i="1"/>
  <c r="L21" i="1"/>
  <c r="L22" i="1"/>
  <c r="L23" i="1"/>
  <c r="L24" i="1"/>
  <c r="L16" i="1"/>
  <c r="B10" i="1"/>
  <c r="C10" i="1"/>
  <c r="D10" i="1"/>
  <c r="E10" i="1"/>
  <c r="F10" i="1"/>
  <c r="G10" i="1"/>
  <c r="H10" i="1"/>
  <c r="I10" i="1"/>
  <c r="A10" i="1"/>
</calcChain>
</file>

<file path=xl/sharedStrings.xml><?xml version="1.0" encoding="utf-8"?>
<sst xmlns="http://schemas.openxmlformats.org/spreadsheetml/2006/main" count="3" uniqueCount="2">
  <si>
    <t>L,см</t>
  </si>
  <si>
    <t>t,c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</si>
</sst>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периода колебаний от стрелы прогиба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505873741923585"/>
          <c:y val="6.9814444629555869E-2"/>
          <c:w val="0.81817418344344139"/>
          <c:h val="0.8446293123548208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Лист1!$A$2:$I$2</c:f>
              <c:numCache>
                <c:formatCode>0.00</c:formatCode>
                <c:ptCount val="9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xVal>
          <c:yVal>
            <c:numRef>
              <c:f>Лист1!$A$3:$I$3</c:f>
              <c:numCache>
                <c:formatCode>0.00</c:formatCode>
                <c:ptCount val="9"/>
                <c:pt idx="0">
                  <c:v>14.78</c:v>
                </c:pt>
                <c:pt idx="1">
                  <c:v>13.9</c:v>
                </c:pt>
                <c:pt idx="2">
                  <c:v>13.44</c:v>
                </c:pt>
                <c:pt idx="3">
                  <c:v>12.94</c:v>
                </c:pt>
                <c:pt idx="4">
                  <c:v>12.45</c:v>
                </c:pt>
                <c:pt idx="5">
                  <c:v>11.93</c:v>
                </c:pt>
                <c:pt idx="6">
                  <c:v>11.28</c:v>
                </c:pt>
                <c:pt idx="7">
                  <c:v>10.87</c:v>
                </c:pt>
                <c:pt idx="8">
                  <c:v>10.65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85-4B15-8BDB-300DBF5478A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Лист1!$A$2:$I$2</c:f>
              <c:numCache>
                <c:formatCode>0.00</c:formatCode>
                <c:ptCount val="9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xVal>
          <c:yVal>
            <c:numRef>
              <c:f>Лист1!$A$4:$I$4</c:f>
              <c:numCache>
                <c:formatCode>0.00</c:formatCode>
                <c:ptCount val="9"/>
                <c:pt idx="0">
                  <c:v>14.66</c:v>
                </c:pt>
                <c:pt idx="1">
                  <c:v>13.79</c:v>
                </c:pt>
                <c:pt idx="2">
                  <c:v>13.26</c:v>
                </c:pt>
                <c:pt idx="3">
                  <c:v>12.9</c:v>
                </c:pt>
                <c:pt idx="4">
                  <c:v>12.41</c:v>
                </c:pt>
                <c:pt idx="5">
                  <c:v>11.86</c:v>
                </c:pt>
                <c:pt idx="6">
                  <c:v>11.24</c:v>
                </c:pt>
                <c:pt idx="7">
                  <c:v>10.83</c:v>
                </c:pt>
                <c:pt idx="8">
                  <c:v>10.63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85-4B15-8BDB-300DBF5478A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Лист1!$A$2:$I$2</c:f>
              <c:numCache>
                <c:formatCode>0.00</c:formatCode>
                <c:ptCount val="9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xVal>
          <c:yVal>
            <c:numRef>
              <c:f>Лист1!$A$5:$I$5</c:f>
              <c:numCache>
                <c:formatCode>0.00</c:formatCode>
                <c:ptCount val="9"/>
                <c:pt idx="0">
                  <c:v>14.55</c:v>
                </c:pt>
                <c:pt idx="1">
                  <c:v>13.65</c:v>
                </c:pt>
                <c:pt idx="2">
                  <c:v>13.24</c:v>
                </c:pt>
                <c:pt idx="3">
                  <c:v>12.75</c:v>
                </c:pt>
                <c:pt idx="4">
                  <c:v>12.32</c:v>
                </c:pt>
                <c:pt idx="5">
                  <c:v>11.78</c:v>
                </c:pt>
                <c:pt idx="6">
                  <c:v>11.15</c:v>
                </c:pt>
                <c:pt idx="7">
                  <c:v>10.81</c:v>
                </c:pt>
                <c:pt idx="8">
                  <c:v>10.62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85-4B15-8BDB-300DBF5478A8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Лист1!$A$2:$I$2</c:f>
              <c:numCache>
                <c:formatCode>0.00</c:formatCode>
                <c:ptCount val="9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xVal>
          <c:yVal>
            <c:numRef>
              <c:f>Лист1!$A$6:$I$6</c:f>
              <c:numCache>
                <c:formatCode>0.00</c:formatCode>
                <c:ptCount val="9"/>
                <c:pt idx="0">
                  <c:v>14.22</c:v>
                </c:pt>
                <c:pt idx="1">
                  <c:v>13.64</c:v>
                </c:pt>
                <c:pt idx="2">
                  <c:v>13.08</c:v>
                </c:pt>
                <c:pt idx="3">
                  <c:v>12.65</c:v>
                </c:pt>
                <c:pt idx="4">
                  <c:v>12.28</c:v>
                </c:pt>
                <c:pt idx="5">
                  <c:v>11.71</c:v>
                </c:pt>
                <c:pt idx="6">
                  <c:v>11.12</c:v>
                </c:pt>
                <c:pt idx="7">
                  <c:v>10.76</c:v>
                </c:pt>
                <c:pt idx="8">
                  <c:v>10.59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85-4B15-8BDB-300DBF5478A8}"/>
            </c:ext>
          </c:extLst>
        </c:ser>
        <c:ser>
          <c:idx val="4"/>
          <c:order val="4"/>
          <c:tx>
            <c:strRef>
              <c:f>Лист1!$A$7:$I$7</c:f>
              <c:strCache>
                <c:ptCount val="9"/>
                <c:pt idx="0">
                  <c:v>13.95</c:v>
                </c:pt>
                <c:pt idx="1">
                  <c:v>13.43</c:v>
                </c:pt>
                <c:pt idx="2">
                  <c:v>12.96</c:v>
                </c:pt>
                <c:pt idx="3">
                  <c:v>12.57</c:v>
                </c:pt>
                <c:pt idx="4">
                  <c:v>12.16</c:v>
                </c:pt>
                <c:pt idx="5">
                  <c:v>11.67</c:v>
                </c:pt>
                <c:pt idx="6">
                  <c:v>11.09</c:v>
                </c:pt>
                <c:pt idx="7">
                  <c:v>10.75</c:v>
                </c:pt>
                <c:pt idx="8">
                  <c:v>10.57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Лист1!$A$2:$I$2</c:f>
              <c:numCache>
                <c:formatCode>0.00</c:formatCode>
                <c:ptCount val="9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xVal>
          <c:yVal>
            <c:numRef>
              <c:f>Лист1!$A$7:$I$7</c:f>
              <c:numCache>
                <c:formatCode>0.00</c:formatCode>
                <c:ptCount val="9"/>
                <c:pt idx="0">
                  <c:v>13.95</c:v>
                </c:pt>
                <c:pt idx="1">
                  <c:v>13.43</c:v>
                </c:pt>
                <c:pt idx="2">
                  <c:v>12.96</c:v>
                </c:pt>
                <c:pt idx="3">
                  <c:v>12.57</c:v>
                </c:pt>
                <c:pt idx="4">
                  <c:v>12.16</c:v>
                </c:pt>
                <c:pt idx="5">
                  <c:v>11.67</c:v>
                </c:pt>
                <c:pt idx="6">
                  <c:v>11.09</c:v>
                </c:pt>
                <c:pt idx="7">
                  <c:v>10.75</c:v>
                </c:pt>
                <c:pt idx="8">
                  <c:v>10.57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5-4B15-8BDB-300DBF5478A8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Лист1!$A$2:$I$2</c:f>
              <c:numCache>
                <c:formatCode>0.00</c:formatCode>
                <c:ptCount val="9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xVal>
          <c:yVal>
            <c:numRef>
              <c:f>Лист1!$A$8:$I$8</c:f>
              <c:numCache>
                <c:formatCode>0.00</c:formatCode>
                <c:ptCount val="9"/>
                <c:pt idx="0">
                  <c:v>13.99</c:v>
                </c:pt>
                <c:pt idx="1">
                  <c:v>13.27</c:v>
                </c:pt>
                <c:pt idx="2">
                  <c:v>12.93</c:v>
                </c:pt>
                <c:pt idx="3">
                  <c:v>12.54</c:v>
                </c:pt>
                <c:pt idx="4">
                  <c:v>12.1</c:v>
                </c:pt>
                <c:pt idx="5">
                  <c:v>11.63</c:v>
                </c:pt>
                <c:pt idx="6">
                  <c:v>11.03</c:v>
                </c:pt>
                <c:pt idx="7">
                  <c:v>10.71</c:v>
                </c:pt>
                <c:pt idx="8">
                  <c:v>10.53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85-4B15-8BDB-300DBF54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214992"/>
        <c:axId val="483219912"/>
      </c:scatterChart>
      <c:valAx>
        <c:axId val="48321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L,</a:t>
                </a:r>
                <a:r>
                  <a:rPr lang="ru-RU" sz="1800" baseline="0"/>
                  <a:t> см</a:t>
                </a:r>
                <a:endParaRPr lang="ru-RU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3219912"/>
        <c:crosses val="autoZero"/>
        <c:crossBetween val="midCat"/>
      </c:valAx>
      <c:valAx>
        <c:axId val="483219912"/>
        <c:scaling>
          <c:orientation val="minMax"/>
          <c:max val="1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t,</a:t>
                </a:r>
                <a:r>
                  <a:rPr lang="en-US" sz="1800" baseline="0"/>
                  <a:t> c</a:t>
                </a:r>
                <a:endParaRPr lang="ru-RU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321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42553379625575"/>
          <c:y val="8.3207176693624749E-2"/>
          <c:w val="0.85540529308836399"/>
          <c:h val="0.82679411920205514"/>
        </c:manualLayout>
      </c:layout>
      <c:scatterChart>
        <c:scatterStyle val="lineMarker"/>
        <c:varyColors val="0"/>
        <c:ser>
          <c:idx val="1"/>
          <c:order val="0"/>
          <c:tx>
            <c:strRef>
              <c:f>Лист1!$A$2:$A$10</c:f>
              <c:strCache>
                <c:ptCount val="1"/>
                <c:pt idx="0">
                  <c:v>34.50 14.78 14.66 14.55 14.22 13.95 13.99 0.79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tint val="77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Лист1!$A$2:$G$2</c:f>
              <c:numCache>
                <c:formatCode>0.00</c:formatCode>
                <c:ptCount val="7"/>
                <c:pt idx="0">
                  <c:v>34.5</c:v>
                </c:pt>
                <c:pt idx="1">
                  <c:v>29</c:v>
                </c:pt>
                <c:pt idx="2">
                  <c:v>25</c:v>
                </c:pt>
                <c:pt idx="3">
                  <c:v>19.5</c:v>
                </c:pt>
                <c:pt idx="4">
                  <c:v>15.5</c:v>
                </c:pt>
                <c:pt idx="5">
                  <c:v>10</c:v>
                </c:pt>
                <c:pt idx="6">
                  <c:v>5</c:v>
                </c:pt>
              </c:numCache>
            </c:numRef>
          </c:xVal>
          <c:yVal>
            <c:numRef>
              <c:f>Лист1!$A$10:$G$10</c:f>
              <c:numCache>
                <c:formatCode>0.00</c:formatCode>
                <c:ptCount val="7"/>
                <c:pt idx="0">
                  <c:v>0.78999999999999915</c:v>
                </c:pt>
                <c:pt idx="1">
                  <c:v>0.63000000000000078</c:v>
                </c:pt>
                <c:pt idx="2">
                  <c:v>0.50999999999999979</c:v>
                </c:pt>
                <c:pt idx="3">
                  <c:v>0.40000000000000036</c:v>
                </c:pt>
                <c:pt idx="4">
                  <c:v>0.34999999999999964</c:v>
                </c:pt>
                <c:pt idx="5">
                  <c:v>0.29999999999999893</c:v>
                </c:pt>
                <c:pt idx="6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00-4566-B415-49CB8DD30DAE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xVal>
            <c:numRef>
              <c:f>Лист1!$H$2:$I$2</c:f>
              <c:numCache>
                <c:formatCode>0.00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xVal>
          <c:yVal>
            <c:numRef>
              <c:f>Лист1!$H$10:$I$10</c:f>
              <c:numCache>
                <c:formatCode>0.00</c:formatCode>
                <c:ptCount val="2"/>
                <c:pt idx="0">
                  <c:v>0.15999999999999837</c:v>
                </c:pt>
                <c:pt idx="1">
                  <c:v>0.12000000000000099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00-4566-B415-49CB8DD30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228048"/>
        <c:axId val="486229360"/>
      </c:scatterChart>
      <c:valAx>
        <c:axId val="48622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L,</a:t>
                </a:r>
                <a:r>
                  <a:rPr lang="en-US" sz="1400" baseline="0"/>
                  <a:t> </a:t>
                </a:r>
                <a:r>
                  <a:rPr lang="ru-RU" sz="1400" baseline="0"/>
                  <a:t>см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45411243964422937"/>
              <c:y val="0.95490199642986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229360"/>
        <c:crosses val="autoZero"/>
        <c:crossBetween val="midCat"/>
      </c:valAx>
      <c:valAx>
        <c:axId val="4862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t,</a:t>
                </a:r>
                <a:r>
                  <a:rPr lang="ru-RU" sz="1600" baseline="0"/>
                  <a:t> с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22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87086</xdr:colOff>
      <xdr:row>2</xdr:row>
      <xdr:rowOff>100150</xdr:rowOff>
    </xdr:from>
    <xdr:to>
      <xdr:col>25</xdr:col>
      <xdr:colOff>182880</xdr:colOff>
      <xdr:row>29</xdr:row>
      <xdr:rowOff>174172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51FF7E-0849-4B26-B9DE-C1FF6F712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211156</xdr:colOff>
      <xdr:row>30</xdr:row>
      <xdr:rowOff>91807</xdr:rowOff>
    </xdr:from>
    <xdr:to>
      <xdr:col>11</xdr:col>
      <xdr:colOff>32634</xdr:colOff>
      <xdr:row>63</xdr:row>
      <xdr:rowOff>28383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CD1A54C-2B44-4C6C-9C64-C5CDCB20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139137</xdr:colOff>
      <xdr:row>14</xdr:row>
      <xdr:rowOff>13252</xdr:rowOff>
    </xdr:from>
    <xdr:ext cx="33131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8E4D3AE-A250-4D6D-BB17-1B91443B43D5}"/>
                </a:ext>
              </a:extLst>
            </xdr:cNvPr>
            <xdr:cNvSpPr txBox="1"/>
          </xdr:nvSpPr>
          <xdr:spPr>
            <a:xfrm rot="10800000" flipH="1" flipV="1">
              <a:off x="748737" y="2610678"/>
              <a:ext cx="3313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8E4D3AE-A250-4D6D-BB17-1B91443B43D5}"/>
                </a:ext>
              </a:extLst>
            </xdr:cNvPr>
            <xdr:cNvSpPr txBox="1"/>
          </xdr:nvSpPr>
          <xdr:spPr>
            <a:xfrm rot="10800000" flipH="1" flipV="1">
              <a:off x="748737" y="2610678"/>
              <a:ext cx="3313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𝑚𝑖𝑛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145774</xdr:colOff>
      <xdr:row>14</xdr:row>
      <xdr:rowOff>0</xdr:rowOff>
    </xdr:from>
    <xdr:ext cx="311425" cy="1722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F83F0B2-1501-499F-ACEB-7F4896450DED}"/>
                </a:ext>
              </a:extLst>
            </xdr:cNvPr>
            <xdr:cNvSpPr txBox="1"/>
          </xdr:nvSpPr>
          <xdr:spPr>
            <a:xfrm>
              <a:off x="3803374" y="2597426"/>
              <a:ext cx="311425" cy="1722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F83F0B2-1501-499F-ACEB-7F4896450DED}"/>
                </a:ext>
              </a:extLst>
            </xdr:cNvPr>
            <xdr:cNvSpPr txBox="1"/>
          </xdr:nvSpPr>
          <xdr:spPr>
            <a:xfrm>
              <a:off x="3803374" y="2597426"/>
              <a:ext cx="311425" cy="1722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588981</xdr:colOff>
      <xdr:row>11</xdr:row>
      <xdr:rowOff>90245</xdr:rowOff>
    </xdr:from>
    <xdr:ext cx="270904" cy="1395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B88AF6C-5735-490A-87BC-3B6592721131}"/>
                </a:ext>
              </a:extLst>
            </xdr:cNvPr>
            <xdr:cNvSpPr txBox="1"/>
          </xdr:nvSpPr>
          <xdr:spPr>
            <a:xfrm>
              <a:off x="7860114" y="2110004"/>
              <a:ext cx="270904" cy="139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𝑡</m:t>
                  </m:r>
                </m:oMath>
              </a14:m>
              <a:r>
                <a:rPr lang="en-US" sz="1100"/>
                <a:t>,c</a:t>
              </a:r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B88AF6C-5735-490A-87BC-3B6592721131}"/>
                </a:ext>
              </a:extLst>
            </xdr:cNvPr>
            <xdr:cNvSpPr txBox="1"/>
          </xdr:nvSpPr>
          <xdr:spPr>
            <a:xfrm>
              <a:off x="7860114" y="2110004"/>
              <a:ext cx="270904" cy="139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/>
                <a:t>,c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32" zoomScale="83" zoomScaleNormal="70" workbookViewId="0">
      <selection activeCell="K15" sqref="K15:L24"/>
    </sheetView>
  </sheetViews>
  <sheetFormatPr defaultRowHeight="14.4" x14ac:dyDescent="0.3"/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</row>
    <row r="2" spans="1:12" x14ac:dyDescent="0.3">
      <c r="A2" s="1">
        <v>34.5</v>
      </c>
      <c r="B2" s="1">
        <v>29</v>
      </c>
      <c r="C2" s="1">
        <v>25</v>
      </c>
      <c r="D2" s="1">
        <v>19.5</v>
      </c>
      <c r="E2" s="1">
        <v>15.5</v>
      </c>
      <c r="F2" s="1">
        <v>10</v>
      </c>
      <c r="G2" s="1">
        <v>5</v>
      </c>
      <c r="H2" s="1">
        <v>2</v>
      </c>
      <c r="I2" s="1">
        <v>0</v>
      </c>
    </row>
    <row r="3" spans="1:12" x14ac:dyDescent="0.3">
      <c r="A3" s="1">
        <v>14.78</v>
      </c>
      <c r="B3" s="1">
        <v>13.9</v>
      </c>
      <c r="C3" s="1">
        <v>13.44</v>
      </c>
      <c r="D3" s="1">
        <v>12.94</v>
      </c>
      <c r="E3" s="1">
        <v>12.45</v>
      </c>
      <c r="F3" s="1">
        <v>11.93</v>
      </c>
      <c r="G3" s="1">
        <v>11.28</v>
      </c>
      <c r="H3" s="1">
        <v>10.87</v>
      </c>
      <c r="I3" s="1">
        <v>10.65</v>
      </c>
    </row>
    <row r="4" spans="1:12" x14ac:dyDescent="0.3">
      <c r="A4" s="1">
        <v>14.66</v>
      </c>
      <c r="B4" s="1">
        <v>13.79</v>
      </c>
      <c r="C4" s="1">
        <v>13.26</v>
      </c>
      <c r="D4" s="1">
        <v>12.9</v>
      </c>
      <c r="E4" s="1">
        <v>12.41</v>
      </c>
      <c r="F4" s="1">
        <v>11.86</v>
      </c>
      <c r="G4" s="1">
        <v>11.24</v>
      </c>
      <c r="H4" s="1">
        <v>10.83</v>
      </c>
      <c r="I4" s="1">
        <v>10.63</v>
      </c>
    </row>
    <row r="5" spans="1:12" x14ac:dyDescent="0.3">
      <c r="A5" s="1">
        <v>14.55</v>
      </c>
      <c r="B5" s="1">
        <v>13.65</v>
      </c>
      <c r="C5" s="1">
        <v>13.24</v>
      </c>
      <c r="D5" s="1">
        <v>12.75</v>
      </c>
      <c r="E5" s="1">
        <v>12.32</v>
      </c>
      <c r="F5" s="1">
        <v>11.78</v>
      </c>
      <c r="G5" s="1">
        <v>11.15</v>
      </c>
      <c r="H5" s="1">
        <v>10.81</v>
      </c>
      <c r="I5" s="1">
        <v>10.62</v>
      </c>
    </row>
    <row r="6" spans="1:12" x14ac:dyDescent="0.3">
      <c r="A6" s="1">
        <v>14.22</v>
      </c>
      <c r="B6" s="1">
        <v>13.64</v>
      </c>
      <c r="C6" s="1">
        <v>13.08</v>
      </c>
      <c r="D6" s="1">
        <v>12.65</v>
      </c>
      <c r="E6" s="1">
        <v>12.28</v>
      </c>
      <c r="F6" s="1">
        <v>11.71</v>
      </c>
      <c r="G6" s="1">
        <v>11.12</v>
      </c>
      <c r="H6" s="1">
        <v>10.76</v>
      </c>
      <c r="I6" s="1">
        <v>10.59</v>
      </c>
    </row>
    <row r="7" spans="1:12" x14ac:dyDescent="0.3">
      <c r="A7" s="1">
        <v>13.95</v>
      </c>
      <c r="B7" s="1">
        <v>13.43</v>
      </c>
      <c r="C7" s="1">
        <v>12.96</v>
      </c>
      <c r="D7" s="1">
        <v>12.57</v>
      </c>
      <c r="E7" s="1">
        <v>12.16</v>
      </c>
      <c r="F7" s="1">
        <v>11.67</v>
      </c>
      <c r="G7" s="1">
        <v>11.09</v>
      </c>
      <c r="H7" s="1">
        <v>10.75</v>
      </c>
      <c r="I7" s="1">
        <v>10.57</v>
      </c>
    </row>
    <row r="8" spans="1:12" x14ac:dyDescent="0.3">
      <c r="A8" s="1">
        <v>13.99</v>
      </c>
      <c r="B8" s="1">
        <v>13.27</v>
      </c>
      <c r="C8" s="1">
        <v>12.93</v>
      </c>
      <c r="D8" s="1">
        <v>12.54</v>
      </c>
      <c r="E8" s="1">
        <v>12.1</v>
      </c>
      <c r="F8" s="1">
        <v>11.63</v>
      </c>
      <c r="G8" s="1">
        <v>11.03</v>
      </c>
      <c r="H8" s="1">
        <v>10.71</v>
      </c>
      <c r="I8" s="1">
        <v>10.53</v>
      </c>
    </row>
    <row r="10" spans="1:12" x14ac:dyDescent="0.3">
      <c r="A10" s="1">
        <f>A3-A8</f>
        <v>0.78999999999999915</v>
      </c>
      <c r="B10" s="1">
        <f t="shared" ref="B10:I10" si="0">B3-B8</f>
        <v>0.63000000000000078</v>
      </c>
      <c r="C10" s="1">
        <f t="shared" si="0"/>
        <v>0.50999999999999979</v>
      </c>
      <c r="D10" s="1">
        <f t="shared" si="0"/>
        <v>0.40000000000000036</v>
      </c>
      <c r="E10" s="1">
        <f t="shared" si="0"/>
        <v>0.34999999999999964</v>
      </c>
      <c r="F10" s="1">
        <f t="shared" si="0"/>
        <v>0.29999999999999893</v>
      </c>
      <c r="G10" s="1">
        <f t="shared" si="0"/>
        <v>0.25</v>
      </c>
      <c r="H10" s="1">
        <f t="shared" si="0"/>
        <v>0.15999999999999837</v>
      </c>
      <c r="I10" s="1">
        <f t="shared" si="0"/>
        <v>0.12000000000000099</v>
      </c>
    </row>
    <row r="13" spans="1:12" x14ac:dyDescent="0.3">
      <c r="C13" s="1"/>
    </row>
    <row r="14" spans="1:12" x14ac:dyDescent="0.3">
      <c r="B14" s="2" t="s">
        <v>1</v>
      </c>
      <c r="C14" s="2"/>
      <c r="D14" s="2"/>
      <c r="E14" s="2"/>
      <c r="F14" s="2"/>
      <c r="G14" s="2"/>
    </row>
    <row r="15" spans="1:12" x14ac:dyDescent="0.3">
      <c r="A15" t="s">
        <v>0</v>
      </c>
      <c r="C15" s="1"/>
      <c r="K15" s="3" t="s">
        <v>0</v>
      </c>
    </row>
    <row r="16" spans="1:12" x14ac:dyDescent="0.3">
      <c r="A16" s="1">
        <v>34.5</v>
      </c>
      <c r="B16" s="1">
        <v>14.78</v>
      </c>
      <c r="C16" s="1">
        <v>14.66</v>
      </c>
      <c r="D16" s="1">
        <v>14.55</v>
      </c>
      <c r="E16" s="1">
        <v>14.22</v>
      </c>
      <c r="F16" s="1">
        <v>14.13</v>
      </c>
      <c r="G16" s="1">
        <v>13.99</v>
      </c>
      <c r="K16" s="1">
        <v>34.5</v>
      </c>
      <c r="L16" s="1">
        <f>B16-G16</f>
        <v>0.78999999999999915</v>
      </c>
    </row>
    <row r="17" spans="1:12" x14ac:dyDescent="0.3">
      <c r="A17" s="1">
        <v>29</v>
      </c>
      <c r="B17" s="1">
        <v>13.9</v>
      </c>
      <c r="C17" s="1">
        <v>13.79</v>
      </c>
      <c r="D17" s="1">
        <v>13.65</v>
      </c>
      <c r="E17" s="1">
        <v>13.64</v>
      </c>
      <c r="F17" s="1">
        <v>13.43</v>
      </c>
      <c r="G17" s="1">
        <v>13.27</v>
      </c>
      <c r="K17" s="1">
        <v>29</v>
      </c>
      <c r="L17" s="1">
        <f t="shared" ref="L17:L24" si="1">B17-G17</f>
        <v>0.63000000000000078</v>
      </c>
    </row>
    <row r="18" spans="1:12" x14ac:dyDescent="0.3">
      <c r="A18" s="1">
        <v>25</v>
      </c>
      <c r="B18" s="1">
        <v>13.44</v>
      </c>
      <c r="C18" s="1">
        <v>13.26</v>
      </c>
      <c r="D18" s="1">
        <v>13.24</v>
      </c>
      <c r="E18" s="1">
        <v>13.08</v>
      </c>
      <c r="F18" s="1">
        <v>12.96</v>
      </c>
      <c r="G18" s="1">
        <v>12.93</v>
      </c>
      <c r="K18" s="1">
        <v>25</v>
      </c>
      <c r="L18" s="1">
        <f t="shared" si="1"/>
        <v>0.50999999999999979</v>
      </c>
    </row>
    <row r="19" spans="1:12" x14ac:dyDescent="0.3">
      <c r="A19" s="1">
        <v>19.5</v>
      </c>
      <c r="B19" s="1">
        <v>12.94</v>
      </c>
      <c r="C19" s="1">
        <v>12.9</v>
      </c>
      <c r="D19" s="1">
        <v>12.75</v>
      </c>
      <c r="E19" s="1">
        <v>12.65</v>
      </c>
      <c r="F19" s="1">
        <v>12.57</v>
      </c>
      <c r="G19" s="1">
        <v>12.54</v>
      </c>
      <c r="K19" s="1">
        <v>19.5</v>
      </c>
      <c r="L19" s="1">
        <f t="shared" si="1"/>
        <v>0.40000000000000036</v>
      </c>
    </row>
    <row r="20" spans="1:12" x14ac:dyDescent="0.3">
      <c r="A20" s="1">
        <v>15.5</v>
      </c>
      <c r="B20" s="1">
        <v>12.45</v>
      </c>
      <c r="C20" s="1">
        <v>12.41</v>
      </c>
      <c r="D20" s="1">
        <v>12.32</v>
      </c>
      <c r="E20" s="1">
        <v>12.28</v>
      </c>
      <c r="F20" s="1">
        <v>12.16</v>
      </c>
      <c r="G20" s="1">
        <v>12.1</v>
      </c>
      <c r="K20" s="1">
        <v>15.5</v>
      </c>
      <c r="L20" s="1">
        <f t="shared" si="1"/>
        <v>0.34999999999999964</v>
      </c>
    </row>
    <row r="21" spans="1:12" x14ac:dyDescent="0.3">
      <c r="A21" s="1">
        <v>10</v>
      </c>
      <c r="B21" s="1">
        <v>11.93</v>
      </c>
      <c r="C21" s="1">
        <v>11.86</v>
      </c>
      <c r="D21" s="1">
        <v>11.78</v>
      </c>
      <c r="E21" s="1">
        <v>11.71</v>
      </c>
      <c r="F21" s="1">
        <v>11.67</v>
      </c>
      <c r="G21" s="1">
        <v>11.63</v>
      </c>
      <c r="K21" s="1">
        <v>10</v>
      </c>
      <c r="L21" s="1">
        <f t="shared" si="1"/>
        <v>0.29999999999999893</v>
      </c>
    </row>
    <row r="22" spans="1:12" x14ac:dyDescent="0.3">
      <c r="A22" s="1">
        <v>5</v>
      </c>
      <c r="B22" s="1">
        <v>11.28</v>
      </c>
      <c r="C22" s="1">
        <v>11.24</v>
      </c>
      <c r="D22" s="1">
        <v>11.15</v>
      </c>
      <c r="E22" s="1">
        <v>11.12</v>
      </c>
      <c r="F22" s="1">
        <v>11.09</v>
      </c>
      <c r="G22" s="1">
        <v>11.03</v>
      </c>
      <c r="K22" s="1">
        <v>5</v>
      </c>
      <c r="L22" s="1">
        <f t="shared" si="1"/>
        <v>0.25</v>
      </c>
    </row>
    <row r="23" spans="1:12" x14ac:dyDescent="0.3">
      <c r="A23" s="1">
        <v>2</v>
      </c>
      <c r="B23" s="1">
        <v>10.87</v>
      </c>
      <c r="C23" s="1">
        <v>10.83</v>
      </c>
      <c r="D23" s="1">
        <v>10.81</v>
      </c>
      <c r="E23" s="1">
        <v>10.76</v>
      </c>
      <c r="F23" s="1">
        <v>10.75</v>
      </c>
      <c r="G23" s="1">
        <v>10.71</v>
      </c>
      <c r="K23" s="1">
        <v>2</v>
      </c>
      <c r="L23" s="1">
        <f t="shared" si="1"/>
        <v>0.15999999999999837</v>
      </c>
    </row>
    <row r="24" spans="1:12" x14ac:dyDescent="0.3">
      <c r="A24" s="1">
        <v>0</v>
      </c>
      <c r="B24" s="1">
        <v>10.65</v>
      </c>
      <c r="C24" s="1">
        <v>10.63</v>
      </c>
      <c r="D24" s="1">
        <v>10.62</v>
      </c>
      <c r="E24" s="1">
        <v>10.59</v>
      </c>
      <c r="F24" s="1">
        <v>10.57</v>
      </c>
      <c r="G24" s="1">
        <v>10.53</v>
      </c>
      <c r="K24" s="1">
        <v>0</v>
      </c>
      <c r="L24" s="1">
        <f t="shared" si="1"/>
        <v>0.12000000000000099</v>
      </c>
    </row>
  </sheetData>
  <sortState xmlns:xlrd2="http://schemas.microsoft.com/office/spreadsheetml/2017/richdata2" ref="I3:I8">
    <sortCondition descending="1" ref="I3:I8"/>
  </sortState>
  <mergeCells count="1">
    <mergeCell ref="B14:G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Платон</dc:creator>
  <cp:lastModifiedBy>Платон</cp:lastModifiedBy>
  <dcterms:created xsi:type="dcterms:W3CDTF">2015-06-05T18:19:34Z</dcterms:created>
  <dcterms:modified xsi:type="dcterms:W3CDTF">2022-04-12T16:42:10Z</dcterms:modified>
</cp:coreProperties>
</file>